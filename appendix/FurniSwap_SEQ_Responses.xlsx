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8">
      <text>
        <t xml:space="preserve">Heat Map
	-Louis Manresa
DONT FORGET SCREENSHOT
	-Louis Manresa</t>
      </text>
    </comment>
  </commentList>
</comments>
</file>

<file path=xl/sharedStrings.xml><?xml version="1.0" encoding="utf-8"?>
<sst xmlns="http://schemas.openxmlformats.org/spreadsheetml/2006/main" count="71" uniqueCount="42">
  <si>
    <t>Name</t>
  </si>
  <si>
    <t>Age</t>
  </si>
  <si>
    <t>Gender</t>
  </si>
  <si>
    <t>Registering</t>
  </si>
  <si>
    <t>Logging in</t>
  </si>
  <si>
    <t>Resetting password</t>
  </si>
  <si>
    <t>Opening main menu</t>
  </si>
  <si>
    <t>Opening account</t>
  </si>
  <si>
    <t>Opening settings</t>
  </si>
  <si>
    <t>Searching by keyword</t>
  </si>
  <si>
    <t>Browsing a category</t>
  </si>
  <si>
    <t>Making a listing</t>
  </si>
  <si>
    <t>Buying a listing</t>
  </si>
  <si>
    <t>Selling a listing</t>
  </si>
  <si>
    <t>Reviewing</t>
  </si>
  <si>
    <t>Logging out</t>
  </si>
  <si>
    <t>Sarah M.</t>
  </si>
  <si>
    <t>Female</t>
  </si>
  <si>
    <t>Daniel R.</t>
  </si>
  <si>
    <t>Male</t>
  </si>
  <si>
    <t>Leila A.</t>
  </si>
  <si>
    <t>Javier L.</t>
  </si>
  <si>
    <t>Aisha K.</t>
  </si>
  <si>
    <t>Mark T.</t>
  </si>
  <si>
    <t>Chloe W.</t>
  </si>
  <si>
    <t>Tom H.</t>
  </si>
  <si>
    <t>Mariam Z.</t>
  </si>
  <si>
    <t>Dylan P.</t>
  </si>
  <si>
    <t>Jana B.</t>
  </si>
  <si>
    <t>Ethan S.</t>
  </si>
  <si>
    <t>Priya N.</t>
  </si>
  <si>
    <t>Oliver J.</t>
  </si>
  <si>
    <t>Emily R.</t>
  </si>
  <si>
    <t>Averages</t>
  </si>
  <si>
    <t>Overall Average</t>
  </si>
  <si>
    <t>Success Rate</t>
  </si>
  <si>
    <t>Consistency*</t>
  </si>
  <si>
    <t>*: (&gt;1.5) means users disagreed wildly;  (&lt;1) means everyone had a similar experience.</t>
  </si>
  <si>
    <t>Task Names</t>
  </si>
  <si>
    <t>Consistency</t>
  </si>
  <si>
    <t>Count</t>
  </si>
  <si>
    <t>*Bottom Left Corner (Low Score, Low Deviation): These are "Critical Failures." Everyone hates them. (Fix these first).
*Top Right (High Score, High Deviation): These are "Controversial." Some users are lost, some are fine. (Needs better instructions).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</si>
</sst>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u/>
      <sz val="11.0"/>
      <color rgb="FF0000FF"/>
      <name val="Calibri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/>
    <font>
      <i/>
      <color rgb="FF999999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1" fillId="3" fontId="2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 vertical="top"/>
    </xf>
    <xf borderId="2" fillId="2" fontId="3" numFmtId="0" xfId="0" applyBorder="1" applyFont="1"/>
    <xf borderId="1" fillId="3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0" fillId="3" fontId="4" numFmtId="0" xfId="0" applyFont="1"/>
    <xf borderId="0" fillId="2" fontId="4" numFmtId="0" xfId="0" applyFont="1"/>
    <xf borderId="1" fillId="2" fontId="3" numFmtId="0" xfId="0" applyBorder="1" applyFont="1"/>
    <xf borderId="3" fillId="2" fontId="3" numFmtId="0" xfId="0" applyBorder="1" applyFont="1"/>
    <xf borderId="3" fillId="3" fontId="4" numFmtId="0" xfId="0" applyAlignment="1" applyBorder="1" applyFont="1">
      <alignment horizontal="center"/>
    </xf>
    <xf borderId="4" fillId="4" fontId="3" numFmtId="0" xfId="0" applyAlignment="1" applyBorder="1" applyFill="1" applyFont="1">
      <alignment horizontal="center" readingOrder="0"/>
    </xf>
    <xf borderId="5" fillId="0" fontId="5" numFmtId="0" xfId="0" applyBorder="1" applyFont="1"/>
    <xf borderId="4" fillId="0" fontId="3" numFmtId="2" xfId="0" applyBorder="1" applyFont="1" applyNumberFormat="1"/>
    <xf borderId="6" fillId="0" fontId="3" numFmtId="2" xfId="0" applyBorder="1" applyFont="1" applyNumberFormat="1"/>
    <xf borderId="7" fillId="0" fontId="3" numFmtId="2" xfId="0" applyBorder="1" applyFont="1" applyNumberFormat="1"/>
    <xf borderId="8" fillId="4" fontId="2" numFmtId="0" xfId="0" applyAlignment="1" applyBorder="1" applyFont="1">
      <alignment horizontal="center" readingOrder="0"/>
    </xf>
    <xf borderId="9" fillId="0" fontId="5" numFmtId="0" xfId="0" applyBorder="1" applyFont="1"/>
    <xf borderId="10" fillId="4" fontId="3" numFmtId="2" xfId="0" applyBorder="1" applyFont="1" applyNumberFormat="1"/>
    <xf borderId="8" fillId="4" fontId="3" numFmtId="0" xfId="0" applyAlignment="1" applyBorder="1" applyFont="1">
      <alignment horizontal="center" readingOrder="0"/>
    </xf>
    <xf borderId="10" fillId="0" fontId="3" numFmtId="10" xfId="0" applyBorder="1" applyFont="1" applyNumberFormat="1"/>
    <xf borderId="11" fillId="4" fontId="3" numFmtId="0" xfId="0" applyAlignment="1" applyBorder="1" applyFont="1">
      <alignment horizontal="center" readingOrder="0"/>
    </xf>
    <xf borderId="12" fillId="0" fontId="5" numFmtId="0" xfId="0" applyBorder="1" applyFont="1"/>
    <xf borderId="10" fillId="0" fontId="3" numFmtId="2" xfId="0" applyBorder="1" applyFont="1" applyNumberFormat="1"/>
    <xf borderId="0" fillId="0" fontId="6" numFmtId="0" xfId="0" applyAlignment="1" applyFont="1">
      <alignment horizontal="center" readingOrder="0"/>
    </xf>
    <xf borderId="13" fillId="4" fontId="3" numFmtId="0" xfId="0" applyAlignment="1" applyBorder="1" applyFont="1">
      <alignment horizontal="center" readingOrder="0"/>
    </xf>
    <xf borderId="0" fillId="0" fontId="4" numFmtId="2" xfId="0" applyFont="1" applyNumberFormat="1"/>
    <xf borderId="2" fillId="3" fontId="2" numFmtId="0" xfId="0" applyAlignment="1" applyBorder="1" applyFont="1">
      <alignment horizontal="center" vertical="top"/>
    </xf>
    <xf borderId="0" fillId="0" fontId="4" numFmtId="4" xfId="0" applyFont="1" applyNumberFormat="1"/>
    <xf borderId="13" fillId="4" fontId="3" numFmtId="2" xfId="0" applyAlignment="1" applyBorder="1" applyFont="1" applyNumberFormat="1">
      <alignment readingOrder="0"/>
    </xf>
    <xf borderId="1" fillId="2" fontId="3" numFmtId="0" xfId="0" applyAlignment="1" applyBorder="1" applyFont="1">
      <alignment horizontal="center" readingOrder="0"/>
    </xf>
    <xf borderId="1" fillId="2" fontId="4" numFmtId="0" xfId="0" applyAlignment="1" applyBorder="1" applyFont="1">
      <alignment readingOrder="0"/>
    </xf>
    <xf borderId="1" fillId="3" fontId="4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Task Difficulty: Hardest to Easiest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Sheet1!$E$24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Sheet1!$D$25:$D$37</c:f>
            </c:strRef>
          </c:cat>
          <c:val>
            <c:numRef>
              <c:f>Sheet1!$E$25:$E$37</c:f>
              <c:numCache/>
            </c:numRef>
          </c:val>
        </c:ser>
        <c:axId val="1127084947"/>
        <c:axId val="1093010014"/>
      </c:barChart>
      <c:catAx>
        <c:axId val="11270849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3010014"/>
      </c:catAx>
      <c:valAx>
        <c:axId val="1093010014"/>
        <c:scaling>
          <c:orientation val="minMax"/>
          <c:max val="7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6.00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708494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Problem Matrix</a:t>
            </a:r>
          </a:p>
        </c:rich>
      </c:tx>
      <c:layout>
        <c:manualLayout>
          <c:xMode val="edge"/>
          <c:yMode val="edge"/>
          <c:x val="0.027583333333333335"/>
          <c:y val="0.05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Sheet1!$E$53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Sheet1!$D$54:$D$66</c:f>
            </c:numRef>
          </c:xVal>
          <c:yVal>
            <c:numRef>
              <c:f>Sheet1!$E$54:$E$66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665818"/>
        <c:axId val="924765252"/>
      </c:scatterChart>
      <c:valAx>
        <c:axId val="14366658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4765252"/>
      </c:valAx>
      <c:valAx>
        <c:axId val="9247652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Consistency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66658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Age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Sheet1!$N$54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Sheet1!$M$55:$M$61</c:f>
            </c:strRef>
          </c:cat>
          <c:val>
            <c:numRef>
              <c:f>Sheet1!$N$55:$N$61</c:f>
              <c:numCache/>
            </c:numRef>
          </c:val>
        </c:ser>
        <c:axId val="1146898414"/>
        <c:axId val="14671018"/>
      </c:barChart>
      <c:catAx>
        <c:axId val="1146898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71018"/>
      </c:catAx>
      <c:valAx>
        <c:axId val="14671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68984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400050</xdr:colOff>
      <xdr:row>24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723900</xdr:colOff>
      <xdr:row>52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371475</xdr:colOff>
      <xdr:row>24</xdr:row>
      <xdr:rowOff>161925</xdr:rowOff>
    </xdr:from>
    <xdr:ext cx="5715000" cy="3533775"/>
    <xdr:pic>
      <xdr:nvPicPr>
        <xdr:cNvPr id="622029873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742950</xdr:colOff>
      <xdr:row>50</xdr:row>
      <xdr:rowOff>38100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document/u/1/d/1o064C1NKrbZz2UXTGbZ_4HuGm_tkFtnFNjR-bCcPwng/edit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9.71"/>
    <col customWidth="1" min="3" max="3" width="11.14"/>
    <col customWidth="1" min="4" max="4" width="23.57"/>
    <col customWidth="1" min="5" max="5" width="13.86"/>
    <col customWidth="1" min="6" max="6" width="20.0"/>
    <col customWidth="1" min="7" max="7" width="20.29"/>
    <col customWidth="1" min="8" max="8" width="18.29"/>
    <col customWidth="1" min="9" max="9" width="16.86"/>
    <col customWidth="1" min="10" max="10" width="20.43"/>
    <col customWidth="1" min="11" max="11" width="22.0"/>
    <col customWidth="1" min="12" max="12" width="21.86"/>
    <col customWidth="1" min="13" max="13" width="16.71"/>
    <col customWidth="1" min="14" max="14" width="17.57"/>
    <col customWidth="1" min="15" max="15" width="19.57"/>
    <col customWidth="1" min="16" max="16" width="19.0"/>
    <col customWidth="1" min="17" max="26" width="8.71"/>
  </cols>
  <sheetData>
    <row r="1" ht="14.2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2" t="s">
        <v>13</v>
      </c>
      <c r="O1" s="3" t="s">
        <v>14</v>
      </c>
      <c r="P1" s="2" t="s">
        <v>15</v>
      </c>
    </row>
    <row r="2" ht="14.25" customHeight="1">
      <c r="A2" s="4" t="s">
        <v>16</v>
      </c>
      <c r="B2" s="5">
        <v>19.0</v>
      </c>
      <c r="C2" s="6" t="s">
        <v>17</v>
      </c>
      <c r="D2" s="7">
        <v>6.0</v>
      </c>
      <c r="E2" s="8">
        <v>7.0</v>
      </c>
      <c r="F2" s="7">
        <v>5.0</v>
      </c>
      <c r="G2" s="8">
        <v>7.0</v>
      </c>
      <c r="H2" s="7">
        <v>6.0</v>
      </c>
      <c r="I2" s="8">
        <v>6.0</v>
      </c>
      <c r="J2" s="7">
        <v>5.0</v>
      </c>
      <c r="K2" s="8">
        <v>6.0</v>
      </c>
      <c r="L2" s="7">
        <v>4.0</v>
      </c>
      <c r="M2" s="8">
        <v>6.0</v>
      </c>
      <c r="N2" s="7">
        <v>5.0</v>
      </c>
      <c r="O2" s="8">
        <v>6.0</v>
      </c>
      <c r="P2" s="7">
        <v>7.0</v>
      </c>
    </row>
    <row r="3" ht="14.25" customHeight="1">
      <c r="A3" s="9" t="s">
        <v>18</v>
      </c>
      <c r="B3" s="5">
        <v>22.0</v>
      </c>
      <c r="C3" s="6" t="s">
        <v>19</v>
      </c>
      <c r="D3" s="7">
        <v>7.0</v>
      </c>
      <c r="E3" s="8">
        <v>7.0</v>
      </c>
      <c r="F3" s="7">
        <v>6.0</v>
      </c>
      <c r="G3" s="8">
        <v>6.0</v>
      </c>
      <c r="H3" s="7">
        <v>6.0</v>
      </c>
      <c r="I3" s="8">
        <v>7.0</v>
      </c>
      <c r="J3" s="7">
        <v>6.0</v>
      </c>
      <c r="K3" s="8">
        <v>7.0</v>
      </c>
      <c r="L3" s="7">
        <v>5.0</v>
      </c>
      <c r="M3" s="8">
        <v>6.0</v>
      </c>
      <c r="N3" s="7">
        <v>5.0</v>
      </c>
      <c r="O3" s="8">
        <v>6.0</v>
      </c>
      <c r="P3" s="7">
        <v>6.0</v>
      </c>
    </row>
    <row r="4" ht="14.25" customHeight="1">
      <c r="A4" s="9" t="s">
        <v>20</v>
      </c>
      <c r="B4" s="5">
        <v>20.0</v>
      </c>
      <c r="C4" s="6" t="s">
        <v>17</v>
      </c>
      <c r="D4" s="7">
        <v>4.0</v>
      </c>
      <c r="E4" s="8">
        <v>5.0</v>
      </c>
      <c r="F4" s="7">
        <v>3.0</v>
      </c>
      <c r="G4" s="8">
        <v>6.0</v>
      </c>
      <c r="H4" s="7">
        <v>4.0</v>
      </c>
      <c r="I4" s="8">
        <v>5.0</v>
      </c>
      <c r="J4" s="7">
        <v>4.0</v>
      </c>
      <c r="K4" s="8">
        <v>5.0</v>
      </c>
      <c r="L4" s="7">
        <v>3.0</v>
      </c>
      <c r="M4" s="8">
        <v>4.0</v>
      </c>
      <c r="N4" s="7">
        <v>3.0</v>
      </c>
      <c r="O4" s="8">
        <v>5.0</v>
      </c>
      <c r="P4" s="7">
        <v>6.0</v>
      </c>
    </row>
    <row r="5" ht="14.25" customHeight="1">
      <c r="A5" s="9" t="s">
        <v>21</v>
      </c>
      <c r="B5" s="5">
        <v>21.0</v>
      </c>
      <c r="C5" s="6" t="s">
        <v>19</v>
      </c>
      <c r="D5" s="7">
        <v>6.0</v>
      </c>
      <c r="E5" s="8">
        <v>5.0</v>
      </c>
      <c r="F5" s="7">
        <v>5.0</v>
      </c>
      <c r="G5" s="8">
        <v>6.0</v>
      </c>
      <c r="H5" s="7">
        <v>6.0</v>
      </c>
      <c r="I5" s="8">
        <v>6.0</v>
      </c>
      <c r="J5" s="7">
        <v>7.0</v>
      </c>
      <c r="K5" s="8">
        <v>6.0</v>
      </c>
      <c r="L5" s="7">
        <v>4.0</v>
      </c>
      <c r="M5" s="8">
        <v>5.0</v>
      </c>
      <c r="N5" s="7">
        <v>4.0</v>
      </c>
      <c r="O5" s="8">
        <v>6.0</v>
      </c>
      <c r="P5" s="7">
        <v>6.0</v>
      </c>
    </row>
    <row r="6" ht="14.25" customHeight="1">
      <c r="A6" s="9" t="s">
        <v>22</v>
      </c>
      <c r="B6" s="5">
        <v>18.0</v>
      </c>
      <c r="C6" s="6" t="s">
        <v>17</v>
      </c>
      <c r="D6" s="7">
        <v>5.0</v>
      </c>
      <c r="E6" s="8">
        <v>5.0</v>
      </c>
      <c r="F6" s="7">
        <v>4.0</v>
      </c>
      <c r="G6" s="8">
        <v>6.0</v>
      </c>
      <c r="H6" s="7">
        <v>5.0</v>
      </c>
      <c r="I6" s="8">
        <v>5.0</v>
      </c>
      <c r="J6" s="7">
        <v>6.0</v>
      </c>
      <c r="K6" s="8">
        <v>6.0</v>
      </c>
      <c r="L6" s="7">
        <v>3.0</v>
      </c>
      <c r="M6" s="8">
        <v>5.0</v>
      </c>
      <c r="N6" s="7">
        <v>4.0</v>
      </c>
      <c r="O6" s="8">
        <v>6.0</v>
      </c>
      <c r="P6" s="7">
        <v>7.0</v>
      </c>
    </row>
    <row r="7" ht="14.25" customHeight="1">
      <c r="A7" s="9" t="s">
        <v>23</v>
      </c>
      <c r="B7" s="5">
        <v>24.0</v>
      </c>
      <c r="C7" s="6" t="s">
        <v>19</v>
      </c>
      <c r="D7" s="7">
        <v>7.0</v>
      </c>
      <c r="E7" s="8">
        <v>7.0</v>
      </c>
      <c r="F7" s="7">
        <v>6.0</v>
      </c>
      <c r="G7" s="8">
        <v>7.0</v>
      </c>
      <c r="H7" s="7">
        <v>7.0</v>
      </c>
      <c r="I7" s="8">
        <v>7.0</v>
      </c>
      <c r="J7" s="7">
        <v>6.0</v>
      </c>
      <c r="K7" s="8">
        <v>7.0</v>
      </c>
      <c r="L7" s="7">
        <v>5.0</v>
      </c>
      <c r="M7" s="8">
        <v>6.0</v>
      </c>
      <c r="N7" s="7">
        <v>5.0</v>
      </c>
      <c r="O7" s="8">
        <v>7.0</v>
      </c>
      <c r="P7" s="7">
        <v>7.0</v>
      </c>
    </row>
    <row r="8" ht="14.25" customHeight="1">
      <c r="A8" s="9" t="s">
        <v>24</v>
      </c>
      <c r="B8" s="5">
        <v>20.0</v>
      </c>
      <c r="C8" s="6" t="s">
        <v>17</v>
      </c>
      <c r="D8" s="7">
        <v>3.0</v>
      </c>
      <c r="E8" s="8">
        <v>4.0</v>
      </c>
      <c r="F8" s="7">
        <v>3.0</v>
      </c>
      <c r="G8" s="8">
        <v>5.0</v>
      </c>
      <c r="H8" s="7">
        <v>4.0</v>
      </c>
      <c r="I8" s="8">
        <v>4.0</v>
      </c>
      <c r="J8" s="7">
        <v>3.0</v>
      </c>
      <c r="K8" s="8">
        <v>4.0</v>
      </c>
      <c r="L8" s="7">
        <v>2.0</v>
      </c>
      <c r="M8" s="8">
        <v>4.0</v>
      </c>
      <c r="N8" s="7">
        <v>3.0</v>
      </c>
      <c r="O8" s="8">
        <v>4.0</v>
      </c>
      <c r="P8" s="7">
        <v>5.0</v>
      </c>
    </row>
    <row r="9" ht="14.25" customHeight="1">
      <c r="A9" s="9" t="s">
        <v>25</v>
      </c>
      <c r="B9" s="5">
        <v>23.0</v>
      </c>
      <c r="C9" s="6" t="s">
        <v>19</v>
      </c>
      <c r="D9" s="7">
        <v>6.0</v>
      </c>
      <c r="E9" s="8">
        <v>6.0</v>
      </c>
      <c r="F9" s="7">
        <v>4.0</v>
      </c>
      <c r="G9" s="8">
        <v>7.0</v>
      </c>
      <c r="H9" s="7">
        <v>6.0</v>
      </c>
      <c r="I9" s="8">
        <v>6.0</v>
      </c>
      <c r="J9" s="7">
        <v>5.0</v>
      </c>
      <c r="K9" s="8">
        <v>7.0</v>
      </c>
      <c r="L9" s="7">
        <v>4.0</v>
      </c>
      <c r="M9" s="8">
        <v>6.0</v>
      </c>
      <c r="N9" s="7">
        <v>4.0</v>
      </c>
      <c r="O9" s="8">
        <v>6.0</v>
      </c>
      <c r="P9" s="7">
        <v>7.0</v>
      </c>
    </row>
    <row r="10" ht="14.25" customHeight="1">
      <c r="A10" s="9" t="s">
        <v>26</v>
      </c>
      <c r="B10" s="5">
        <v>19.0</v>
      </c>
      <c r="C10" s="6" t="s">
        <v>17</v>
      </c>
      <c r="D10" s="7">
        <v>4.0</v>
      </c>
      <c r="E10" s="8">
        <v>5.0</v>
      </c>
      <c r="F10" s="7">
        <v>4.0</v>
      </c>
      <c r="G10" s="8">
        <v>6.0</v>
      </c>
      <c r="H10" s="7">
        <v>5.0</v>
      </c>
      <c r="I10" s="8">
        <v>5.0</v>
      </c>
      <c r="J10" s="7">
        <v>4.0</v>
      </c>
      <c r="K10" s="8">
        <v>5.0</v>
      </c>
      <c r="L10" s="7">
        <v>3.0</v>
      </c>
      <c r="M10" s="8">
        <v>5.0</v>
      </c>
      <c r="N10" s="7">
        <v>3.0</v>
      </c>
      <c r="O10" s="8">
        <v>5.0</v>
      </c>
      <c r="P10" s="7">
        <v>6.0</v>
      </c>
    </row>
    <row r="11" ht="14.25" customHeight="1">
      <c r="A11" s="9" t="s">
        <v>27</v>
      </c>
      <c r="B11" s="5">
        <v>22.0</v>
      </c>
      <c r="C11" s="6" t="s">
        <v>19</v>
      </c>
      <c r="D11" s="7">
        <v>7.0</v>
      </c>
      <c r="E11" s="8">
        <v>6.0</v>
      </c>
      <c r="F11" s="7">
        <v>5.0</v>
      </c>
      <c r="G11" s="8">
        <v>6.0</v>
      </c>
      <c r="H11" s="7">
        <v>6.0</v>
      </c>
      <c r="I11" s="8">
        <v>5.0</v>
      </c>
      <c r="J11" s="7">
        <v>5.0</v>
      </c>
      <c r="K11" s="8">
        <v>6.0</v>
      </c>
      <c r="L11" s="7">
        <v>4.0</v>
      </c>
      <c r="M11" s="8">
        <v>6.0</v>
      </c>
      <c r="N11" s="7">
        <v>4.0</v>
      </c>
      <c r="O11" s="8">
        <v>6.0</v>
      </c>
      <c r="P11" s="7">
        <v>7.0</v>
      </c>
    </row>
    <row r="12" ht="14.25" customHeight="1">
      <c r="A12" s="9" t="s">
        <v>28</v>
      </c>
      <c r="B12" s="5">
        <v>18.0</v>
      </c>
      <c r="C12" s="6" t="s">
        <v>17</v>
      </c>
      <c r="D12" s="7">
        <v>5.0</v>
      </c>
      <c r="E12" s="8">
        <v>6.0</v>
      </c>
      <c r="F12" s="7">
        <v>4.0</v>
      </c>
      <c r="G12" s="8">
        <v>6.0</v>
      </c>
      <c r="H12" s="7">
        <v>5.0</v>
      </c>
      <c r="I12" s="8">
        <v>5.0</v>
      </c>
      <c r="J12" s="7">
        <v>5.0</v>
      </c>
      <c r="K12" s="8">
        <v>6.0</v>
      </c>
      <c r="L12" s="7">
        <v>3.0</v>
      </c>
      <c r="M12" s="8">
        <v>5.0</v>
      </c>
      <c r="N12" s="7">
        <v>3.0</v>
      </c>
      <c r="O12" s="8">
        <v>6.0</v>
      </c>
      <c r="P12" s="7">
        <v>6.0</v>
      </c>
    </row>
    <row r="13" ht="14.25" customHeight="1">
      <c r="A13" s="9" t="s">
        <v>29</v>
      </c>
      <c r="B13" s="5">
        <v>21.0</v>
      </c>
      <c r="C13" s="6" t="s">
        <v>19</v>
      </c>
      <c r="D13" s="7">
        <v>6.0</v>
      </c>
      <c r="E13" s="8">
        <v>6.0</v>
      </c>
      <c r="F13" s="7">
        <v>5.0</v>
      </c>
      <c r="G13" s="8">
        <v>7.0</v>
      </c>
      <c r="H13" s="7">
        <v>6.0</v>
      </c>
      <c r="I13" s="8">
        <v>6.0</v>
      </c>
      <c r="J13" s="7">
        <v>6.0</v>
      </c>
      <c r="K13" s="8">
        <v>7.0</v>
      </c>
      <c r="L13" s="7">
        <v>4.0</v>
      </c>
      <c r="M13" s="8">
        <v>6.0</v>
      </c>
      <c r="N13" s="7">
        <v>4.0</v>
      </c>
      <c r="O13" s="8">
        <v>6.0</v>
      </c>
      <c r="P13" s="7">
        <v>7.0</v>
      </c>
    </row>
    <row r="14" ht="14.25" customHeight="1">
      <c r="A14" s="9" t="s">
        <v>30</v>
      </c>
      <c r="B14" s="5">
        <v>23.0</v>
      </c>
      <c r="C14" s="6" t="s">
        <v>17</v>
      </c>
      <c r="D14" s="7">
        <v>4.0</v>
      </c>
      <c r="E14" s="8">
        <v>4.0</v>
      </c>
      <c r="F14" s="7">
        <v>3.0</v>
      </c>
      <c r="G14" s="8">
        <v>5.0</v>
      </c>
      <c r="H14" s="7">
        <v>4.0</v>
      </c>
      <c r="I14" s="8">
        <v>4.0</v>
      </c>
      <c r="J14" s="7">
        <v>4.0</v>
      </c>
      <c r="K14" s="8">
        <v>5.0</v>
      </c>
      <c r="L14" s="7">
        <v>2.0</v>
      </c>
      <c r="M14" s="8">
        <v>4.0</v>
      </c>
      <c r="N14" s="7">
        <v>2.0</v>
      </c>
      <c r="O14" s="8">
        <v>4.0</v>
      </c>
      <c r="P14" s="7">
        <v>5.0</v>
      </c>
    </row>
    <row r="15" ht="14.25" customHeight="1">
      <c r="A15" s="9" t="s">
        <v>31</v>
      </c>
      <c r="B15" s="5">
        <v>20.0</v>
      </c>
      <c r="C15" s="6" t="s">
        <v>19</v>
      </c>
      <c r="D15" s="7">
        <v>6.0</v>
      </c>
      <c r="E15" s="8">
        <v>6.0</v>
      </c>
      <c r="F15" s="7">
        <v>5.0</v>
      </c>
      <c r="G15" s="8">
        <v>6.0</v>
      </c>
      <c r="H15" s="7">
        <v>6.0</v>
      </c>
      <c r="I15" s="8">
        <v>5.0</v>
      </c>
      <c r="J15" s="7">
        <v>6.0</v>
      </c>
      <c r="K15" s="8">
        <v>6.0</v>
      </c>
      <c r="L15" s="7">
        <v>4.0</v>
      </c>
      <c r="M15" s="8">
        <v>5.0</v>
      </c>
      <c r="N15" s="7">
        <v>4.0</v>
      </c>
      <c r="O15" s="8">
        <v>6.0</v>
      </c>
      <c r="P15" s="7">
        <v>6.0</v>
      </c>
    </row>
    <row r="16" ht="14.25" customHeight="1">
      <c r="A16" s="10" t="s">
        <v>32</v>
      </c>
      <c r="B16" s="11">
        <v>19.0</v>
      </c>
      <c r="C16" s="6" t="s">
        <v>17</v>
      </c>
      <c r="D16" s="7">
        <v>5.0</v>
      </c>
      <c r="E16" s="8">
        <v>6.0</v>
      </c>
      <c r="F16" s="7">
        <v>5.0</v>
      </c>
      <c r="G16" s="8">
        <v>7.0</v>
      </c>
      <c r="H16" s="7">
        <v>6.0</v>
      </c>
      <c r="I16" s="8">
        <v>6.0</v>
      </c>
      <c r="J16" s="7">
        <v>5.0</v>
      </c>
      <c r="K16" s="8">
        <v>7.0</v>
      </c>
      <c r="L16" s="7">
        <v>3.0</v>
      </c>
      <c r="M16" s="8">
        <v>5.0</v>
      </c>
      <c r="N16" s="7">
        <v>3.0</v>
      </c>
      <c r="O16" s="8">
        <v>6.0</v>
      </c>
      <c r="P16" s="7">
        <v>7.0</v>
      </c>
    </row>
    <row r="17" ht="14.25" customHeight="1">
      <c r="A17" s="12" t="s">
        <v>33</v>
      </c>
      <c r="B17" s="13"/>
      <c r="D17" s="14">
        <f t="shared" ref="D17:P17" si="1">AVERAGE(D2:D16)</f>
        <v>5.4</v>
      </c>
      <c r="E17" s="15">
        <f t="shared" si="1"/>
        <v>5.666666667</v>
      </c>
      <c r="F17" s="15">
        <f t="shared" si="1"/>
        <v>4.466666667</v>
      </c>
      <c r="G17" s="15">
        <f t="shared" si="1"/>
        <v>6.2</v>
      </c>
      <c r="H17" s="15">
        <f t="shared" si="1"/>
        <v>5.466666667</v>
      </c>
      <c r="I17" s="15">
        <f t="shared" si="1"/>
        <v>5.466666667</v>
      </c>
      <c r="J17" s="15">
        <f t="shared" si="1"/>
        <v>5.133333333</v>
      </c>
      <c r="K17" s="15">
        <f t="shared" si="1"/>
        <v>6</v>
      </c>
      <c r="L17" s="15">
        <f t="shared" si="1"/>
        <v>3.533333333</v>
      </c>
      <c r="M17" s="15">
        <f t="shared" si="1"/>
        <v>5.2</v>
      </c>
      <c r="N17" s="15">
        <f t="shared" si="1"/>
        <v>3.733333333</v>
      </c>
      <c r="O17" s="15">
        <f t="shared" si="1"/>
        <v>5.666666667</v>
      </c>
      <c r="P17" s="16">
        <f t="shared" si="1"/>
        <v>6.333333333</v>
      </c>
    </row>
    <row r="18" ht="14.25" customHeight="1">
      <c r="A18" s="17" t="s">
        <v>34</v>
      </c>
      <c r="B18" s="18"/>
      <c r="D18" s="19">
        <f>AVERAGE(D17:P17)</f>
        <v>5.251282051</v>
      </c>
    </row>
    <row r="19" ht="14.25" customHeight="1">
      <c r="A19" s="20" t="s">
        <v>35</v>
      </c>
      <c r="B19" s="18"/>
      <c r="D19" s="21">
        <f t="shared" ref="D19:P19" si="2">COUNTIF(D2:D16, "&gt;=5")/COUNT(D2:D16)</f>
        <v>0.7333333333</v>
      </c>
      <c r="E19" s="21">
        <f t="shared" si="2"/>
        <v>0.8666666667</v>
      </c>
      <c r="F19" s="21">
        <f t="shared" si="2"/>
        <v>0.5333333333</v>
      </c>
      <c r="G19" s="21">
        <f t="shared" si="2"/>
        <v>1</v>
      </c>
      <c r="H19" s="21">
        <f t="shared" si="2"/>
        <v>0.8</v>
      </c>
      <c r="I19" s="21">
        <f t="shared" si="2"/>
        <v>0.8666666667</v>
      </c>
      <c r="J19" s="21">
        <f t="shared" si="2"/>
        <v>0.7333333333</v>
      </c>
      <c r="K19" s="21">
        <f t="shared" si="2"/>
        <v>0.9333333333</v>
      </c>
      <c r="L19" s="21">
        <f t="shared" si="2"/>
        <v>0.1333333333</v>
      </c>
      <c r="M19" s="21">
        <f t="shared" si="2"/>
        <v>0.8</v>
      </c>
      <c r="N19" s="21">
        <f t="shared" si="2"/>
        <v>0.2</v>
      </c>
      <c r="O19" s="21">
        <f t="shared" si="2"/>
        <v>0.8666666667</v>
      </c>
      <c r="P19" s="21">
        <f t="shared" si="2"/>
        <v>1</v>
      </c>
    </row>
    <row r="20" ht="14.25" customHeight="1">
      <c r="A20" s="22" t="s">
        <v>36</v>
      </c>
      <c r="B20" s="23"/>
      <c r="D20" s="24">
        <f t="shared" ref="D20:P20" si="3">_xlfn.STDEV.P(D2:D16)</f>
        <v>1.2</v>
      </c>
      <c r="E20" s="24">
        <f t="shared" si="3"/>
        <v>0.9428090416</v>
      </c>
      <c r="F20" s="24">
        <f t="shared" si="3"/>
        <v>0.956846673</v>
      </c>
      <c r="G20" s="24">
        <f t="shared" si="3"/>
        <v>0.6531972647</v>
      </c>
      <c r="H20" s="24">
        <f t="shared" si="3"/>
        <v>0.8844332774</v>
      </c>
      <c r="I20" s="24">
        <f t="shared" si="3"/>
        <v>0.8844332774</v>
      </c>
      <c r="J20" s="24">
        <f t="shared" si="3"/>
        <v>1.024152766</v>
      </c>
      <c r="K20" s="24">
        <f t="shared" si="3"/>
        <v>0.894427191</v>
      </c>
      <c r="L20" s="24">
        <f t="shared" si="3"/>
        <v>0.8844332774</v>
      </c>
      <c r="M20" s="24">
        <f t="shared" si="3"/>
        <v>0.7483314774</v>
      </c>
      <c r="N20" s="24">
        <f t="shared" si="3"/>
        <v>0.8537498983</v>
      </c>
      <c r="O20" s="24">
        <f t="shared" si="3"/>
        <v>0.7888106377</v>
      </c>
      <c r="P20" s="24">
        <f t="shared" si="3"/>
        <v>0.6992058988</v>
      </c>
    </row>
    <row r="21" ht="14.25" customHeight="1">
      <c r="E21" s="25" t="s">
        <v>37</v>
      </c>
    </row>
    <row r="22" ht="14.25" customHeight="1"/>
    <row r="23" ht="14.25" customHeight="1"/>
    <row r="24" ht="14.25" customHeight="1">
      <c r="D24" s="26" t="s">
        <v>38</v>
      </c>
      <c r="E24" s="26" t="s">
        <v>33</v>
      </c>
    </row>
    <row r="25" ht="14.25" customHeight="1">
      <c r="C25" s="27"/>
      <c r="D25" s="28" t="s">
        <v>11</v>
      </c>
      <c r="E25" s="27">
        <v>3.533333333333333</v>
      </c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</row>
    <row r="26" ht="14.25" customHeight="1">
      <c r="C26" s="27"/>
      <c r="D26" s="2" t="s">
        <v>13</v>
      </c>
      <c r="E26" s="27">
        <v>3.7333333333333334</v>
      </c>
    </row>
    <row r="27" ht="14.25" customHeight="1">
      <c r="C27" s="27"/>
      <c r="D27" s="2" t="s">
        <v>5</v>
      </c>
      <c r="E27" s="27">
        <v>4.466666666666667</v>
      </c>
    </row>
    <row r="28" ht="14.25" customHeight="1">
      <c r="C28" s="27"/>
      <c r="D28" s="2" t="s">
        <v>9</v>
      </c>
      <c r="E28" s="27">
        <v>5.133333333333334</v>
      </c>
    </row>
    <row r="29" ht="14.25" customHeight="1">
      <c r="C29" s="27"/>
      <c r="D29" s="2" t="s">
        <v>12</v>
      </c>
      <c r="E29" s="27">
        <v>5.2</v>
      </c>
    </row>
    <row r="30" ht="14.25" customHeight="1">
      <c r="C30" s="27"/>
      <c r="D30" s="2" t="s">
        <v>3</v>
      </c>
      <c r="E30" s="27">
        <v>5.4</v>
      </c>
    </row>
    <row r="31" ht="14.25" customHeight="1">
      <c r="C31" s="27"/>
      <c r="D31" s="2" t="s">
        <v>7</v>
      </c>
      <c r="E31" s="27">
        <v>5.466666666666667</v>
      </c>
    </row>
    <row r="32" ht="14.25" customHeight="1">
      <c r="C32" s="27"/>
      <c r="D32" s="2" t="s">
        <v>8</v>
      </c>
      <c r="E32" s="27">
        <v>5.466666666666667</v>
      </c>
    </row>
    <row r="33" ht="14.25" customHeight="1">
      <c r="C33" s="27"/>
      <c r="D33" s="2" t="s">
        <v>4</v>
      </c>
      <c r="E33" s="27">
        <v>5.666666666666667</v>
      </c>
    </row>
    <row r="34" ht="14.25" customHeight="1">
      <c r="C34" s="27"/>
      <c r="D34" s="2" t="s">
        <v>14</v>
      </c>
      <c r="E34" s="27">
        <v>5.666666666666667</v>
      </c>
    </row>
    <row r="35" ht="14.25" customHeight="1">
      <c r="C35" s="27"/>
      <c r="D35" s="2" t="s">
        <v>10</v>
      </c>
      <c r="E35" s="27">
        <v>6.0</v>
      </c>
    </row>
    <row r="36" ht="14.25" customHeight="1">
      <c r="C36" s="27"/>
      <c r="D36" s="2" t="s">
        <v>6</v>
      </c>
      <c r="E36" s="27">
        <v>6.2</v>
      </c>
    </row>
    <row r="37" ht="14.25" customHeight="1">
      <c r="C37" s="27"/>
      <c r="D37" s="2" t="s">
        <v>15</v>
      </c>
      <c r="E37" s="27">
        <v>6.333333333333333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>
      <c r="V49" s="29"/>
    </row>
    <row r="50" ht="14.25" customHeight="1"/>
    <row r="51" ht="14.25" customHeight="1"/>
    <row r="52" ht="14.25" customHeight="1"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</row>
    <row r="53" ht="14.25" customHeight="1">
      <c r="D53" s="26" t="s">
        <v>33</v>
      </c>
      <c r="E53" s="30" t="s">
        <v>39</v>
      </c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 ht="14.25" customHeight="1">
      <c r="D54" s="27">
        <v>5.4</v>
      </c>
      <c r="E54" s="27">
        <v>1.2</v>
      </c>
      <c r="M54" s="2" t="s">
        <v>1</v>
      </c>
      <c r="N54" s="31" t="s">
        <v>40</v>
      </c>
    </row>
    <row r="55" ht="14.25" customHeight="1">
      <c r="D55" s="27">
        <v>5.666666666666667</v>
      </c>
      <c r="E55" s="27">
        <v>0.9428090415820632</v>
      </c>
      <c r="M55" s="5">
        <v>18.0</v>
      </c>
      <c r="N55" s="32">
        <v>2.0</v>
      </c>
    </row>
    <row r="56" ht="14.25" customHeight="1">
      <c r="D56" s="27">
        <v>4.466666666666667</v>
      </c>
      <c r="E56" s="27">
        <v>0.9568466729604881</v>
      </c>
      <c r="M56" s="33">
        <v>19.0</v>
      </c>
      <c r="N56" s="32">
        <v>3.0</v>
      </c>
    </row>
    <row r="57" ht="14.25" customHeight="1">
      <c r="D57" s="27">
        <v>6.2</v>
      </c>
      <c r="E57" s="27">
        <v>0.6531972647421808</v>
      </c>
      <c r="M57" s="33">
        <v>20.0</v>
      </c>
      <c r="N57" s="32">
        <v>3.0</v>
      </c>
    </row>
    <row r="58" ht="14.25" customHeight="1">
      <c r="D58" s="27">
        <v>5.466666666666667</v>
      </c>
      <c r="E58" s="27">
        <v>0.8844332774281065</v>
      </c>
      <c r="M58" s="33">
        <v>21.0</v>
      </c>
      <c r="N58" s="32">
        <v>2.0</v>
      </c>
    </row>
    <row r="59" ht="14.25" customHeight="1">
      <c r="D59" s="27">
        <v>5.466666666666667</v>
      </c>
      <c r="E59" s="27">
        <v>0.8844332774281066</v>
      </c>
      <c r="M59" s="33">
        <v>22.0</v>
      </c>
      <c r="N59" s="32">
        <v>2.0</v>
      </c>
    </row>
    <row r="60" ht="14.25" customHeight="1">
      <c r="D60" s="27">
        <v>5.133333333333334</v>
      </c>
      <c r="E60" s="27">
        <v>1.024152766382481</v>
      </c>
      <c r="M60" s="33">
        <v>23.0</v>
      </c>
      <c r="N60" s="32">
        <v>2.0</v>
      </c>
    </row>
    <row r="61" ht="14.25" customHeight="1">
      <c r="D61" s="27">
        <v>6.0</v>
      </c>
      <c r="E61" s="27">
        <v>0.8944271909999159</v>
      </c>
      <c r="M61" s="33">
        <v>24.0</v>
      </c>
      <c r="N61" s="32">
        <v>1.0</v>
      </c>
    </row>
    <row r="62" ht="14.25" customHeight="1">
      <c r="D62" s="27">
        <v>3.533333333333333</v>
      </c>
      <c r="E62" s="27">
        <v>0.8844332774281065</v>
      </c>
    </row>
    <row r="63" ht="14.25" customHeight="1">
      <c r="D63" s="27">
        <v>5.2</v>
      </c>
      <c r="E63" s="27">
        <v>0.7483314773547882</v>
      </c>
    </row>
    <row r="64" ht="14.25" customHeight="1">
      <c r="D64" s="27">
        <v>3.7333333333333334</v>
      </c>
      <c r="E64" s="27">
        <v>0.85374989832438</v>
      </c>
    </row>
    <row r="65" ht="14.25" customHeight="1">
      <c r="D65" s="27">
        <v>5.666666666666667</v>
      </c>
      <c r="E65" s="27">
        <v>0.7888106377466154</v>
      </c>
    </row>
    <row r="66" ht="14.25" customHeight="1">
      <c r="D66" s="27">
        <v>6.333333333333333</v>
      </c>
      <c r="E66" s="27">
        <v>0.699205898780101</v>
      </c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>
      <c r="G76" s="34" t="s">
        <v>41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7:B17"/>
    <mergeCell ref="A18:B18"/>
    <mergeCell ref="A19:B19"/>
    <mergeCell ref="A20:B20"/>
    <mergeCell ref="E21:I21"/>
  </mergeCells>
  <conditionalFormatting sqref="D2:P17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25:E37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19:P19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54:D66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hyperlinks>
    <hyperlink r:id="rId2" ref="A1"/>
  </hyperlinks>
  <printOptions/>
  <pageMargins bottom="0.75" footer="0.0" header="0.0" left="0.7" right="0.7" top="0.75"/>
  <pageSetup paperSize="9" orientation="portrait"/>
  <drawing r:id="rId3"/>
  <legacyDrawing r:id="rId4"/>
</worksheet>
</file>