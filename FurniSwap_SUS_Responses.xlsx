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<sst xmlns="http://schemas.openxmlformats.org/spreadsheetml/2006/main" count="61" uniqueCount="45">
  <si>
    <t>HCI - Activity 6</t>
  </si>
  <si>
    <t>Age</t>
  </si>
  <si>
    <t>Gender</t>
  </si>
  <si>
    <t>Q1_Frequent_Use</t>
  </si>
  <si>
    <t>Q2_Unnecessarily_Complex</t>
  </si>
  <si>
    <t>Q3_Easy_To_Use</t>
  </si>
  <si>
    <t>Q4_Need_Support</t>
  </si>
  <si>
    <t>Q5_Well_Integrated</t>
  </si>
  <si>
    <t>Q6_Inconsistent</t>
  </si>
  <si>
    <t>Q7_Learn_Quickly</t>
  </si>
  <si>
    <t>Q8_Cumbersome</t>
  </si>
  <si>
    <t>Q9_Confident</t>
  </si>
  <si>
    <t>Q10_Need_To_Learn_Much</t>
  </si>
  <si>
    <t>Score</t>
  </si>
  <si>
    <t>Learnability</t>
  </si>
  <si>
    <t>Usability</t>
  </si>
  <si>
    <t>Sarah M.</t>
  </si>
  <si>
    <t>Female</t>
  </si>
  <si>
    <t>Daniel R.</t>
  </si>
  <si>
    <t>Male</t>
  </si>
  <si>
    <t>Leila A.</t>
  </si>
  <si>
    <t>Javier L.</t>
  </si>
  <si>
    <t>Aisha K.</t>
  </si>
  <si>
    <t>Mark T.</t>
  </si>
  <si>
    <t>Chloe W.</t>
  </si>
  <si>
    <t>Tom H.</t>
  </si>
  <si>
    <t>Mariam Z.</t>
  </si>
  <si>
    <t>Dylan P.</t>
  </si>
  <si>
    <t>Jana B.</t>
  </si>
  <si>
    <t>Ethan S.</t>
  </si>
  <si>
    <t>Priya N.</t>
  </si>
  <si>
    <t>Oliver J.</t>
  </si>
  <si>
    <t>Emily R.</t>
  </si>
  <si>
    <t>Averages</t>
  </si>
  <si>
    <t>C (Okay)</t>
  </si>
  <si>
    <t>B- (Good)</t>
  </si>
  <si>
    <t>D+ (Poor)</t>
  </si>
  <si>
    <t>Rating</t>
  </si>
  <si>
    <t>Best Possible</t>
  </si>
  <si>
    <t>A (Excellent)</t>
  </si>
  <si>
    <t>B (Good)</t>
  </si>
  <si>
    <t>FurniSwap</t>
  </si>
  <si>
    <t>D (Poor)</t>
  </si>
  <si>
    <t>F (Fail)</t>
  </si>
  <si>
    <t>The system scored a 69.2 (Grade C). It is generally usable (Usability: 70.2), but users struggle to learn it initially (Learnability: 65.0). We recommend improving the onboarding process.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</si>
</sst>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b/>
      <u/>
      <sz val="11.0"/>
      <color rgb="FF0000FF"/>
      <name val="Calibri"/>
    </font>
    <font>
      <b/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b/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1" fillId="3" fontId="2" numFmtId="0" xfId="0" applyAlignment="1" applyBorder="1" applyFill="1" applyFont="1">
      <alignment horizontal="center" vertical="top"/>
    </xf>
    <xf borderId="1" fillId="2" fontId="2" numFmtId="0" xfId="0" applyAlignment="1" applyBorder="1" applyFont="1">
      <alignment horizontal="center" vertical="top"/>
    </xf>
    <xf borderId="2" fillId="2" fontId="2" numFmtId="0" xfId="0" applyAlignment="1" applyBorder="1" applyFont="1">
      <alignment horizontal="center" vertical="top"/>
    </xf>
    <xf borderId="3" fillId="4" fontId="3" numFmtId="0" xfId="0" applyAlignment="1" applyBorder="1" applyFill="1" applyFont="1">
      <alignment horizontal="center" readingOrder="0"/>
    </xf>
    <xf borderId="0" fillId="4" fontId="3" numFmtId="0" xfId="0" applyAlignment="1" applyFont="1">
      <alignment horizontal="center" readingOrder="0"/>
    </xf>
    <xf borderId="0" fillId="2" fontId="3" numFmtId="0" xfId="0" applyAlignment="1" applyFont="1">
      <alignment horizontal="center"/>
    </xf>
    <xf borderId="0" fillId="3" fontId="3" numFmtId="0" xfId="0" applyAlignment="1" applyFont="1">
      <alignment horizontal="center"/>
    </xf>
    <xf borderId="0" fillId="3" fontId="4" numFmtId="0" xfId="0" applyFont="1"/>
    <xf borderId="0" fillId="2" fontId="4" numFmtId="0" xfId="0" applyFont="1"/>
    <xf borderId="3" fillId="4" fontId="4" numFmtId="0" xfId="0" applyBorder="1" applyFont="1"/>
    <xf borderId="3" fillId="0" fontId="4" numFmtId="0" xfId="0" applyBorder="1" applyFont="1"/>
    <xf borderId="0" fillId="0" fontId="3" numFmtId="0" xfId="0" applyAlignment="1" applyFont="1">
      <alignment horizontal="center" readingOrder="0"/>
    </xf>
    <xf borderId="0" fillId="0" fontId="4" numFmtId="2" xfId="0" applyFont="1" applyNumberFormat="1"/>
    <xf borderId="3" fillId="4" fontId="3" numFmtId="164" xfId="0" applyBorder="1" applyFont="1" applyNumberFormat="1"/>
    <xf borderId="0" fillId="0" fontId="4" numFmtId="0" xfId="0" applyFont="1"/>
    <xf borderId="0" fillId="0" fontId="4" numFmtId="164" xfId="0" applyFont="1" applyNumberFormat="1"/>
    <xf borderId="3" fillId="2" fontId="3" numFmtId="0" xfId="0" applyAlignment="1" applyBorder="1" applyFont="1">
      <alignment horizontal="center" readingOrder="0"/>
    </xf>
    <xf borderId="3" fillId="3" fontId="3" numFmtId="0" xfId="0" applyAlignment="1" applyBorder="1" applyFont="1">
      <alignment horizontal="center" readingOrder="0"/>
    </xf>
    <xf borderId="3" fillId="2" fontId="4" numFmtId="0" xfId="0" applyAlignment="1" applyBorder="1" applyFont="1">
      <alignment horizontal="center" readingOrder="0"/>
    </xf>
    <xf borderId="3" fillId="0" fontId="4" numFmtId="0" xfId="0" applyAlignment="1" applyBorder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Adjective Rating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Sheet1!$D$24</c:f>
            </c:strRef>
          </c:tx>
          <c:spPr>
            <a:solidFill>
              <a:srgbClr val="D9D9D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3"/>
            <c:spPr>
              <a:solidFill>
                <a:srgbClr val="3C78D8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Sheet1!$C$25:$C$31</c:f>
            </c:strRef>
          </c:cat>
          <c:val>
            <c:numRef>
              <c:f>Sheet1!$D$25:$D$31</c:f>
              <c:numCache/>
            </c:numRef>
          </c:val>
        </c:ser>
        <c:axId val="2031523603"/>
        <c:axId val="2020316530"/>
      </c:barChart>
      <c:catAx>
        <c:axId val="203152360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Rating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0316530"/>
      </c:catAx>
      <c:valAx>
        <c:axId val="202031653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152360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238125</xdr:colOff>
      <xdr:row>23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u/1/d/1o064C1NKrbZz2UXTGbZ_4HuGm_tkFtnFNjR-bCcPwng/edit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3.14"/>
    <col customWidth="1" min="4" max="4" width="22.0"/>
    <col customWidth="1" min="5" max="5" width="29.0"/>
    <col customWidth="1" min="6" max="6" width="19.0"/>
    <col customWidth="1" min="7" max="7" width="21.57"/>
    <col customWidth="1" min="8" max="8" width="19.57"/>
    <col customWidth="1" min="9" max="9" width="19.71"/>
    <col customWidth="1" min="10" max="10" width="18.0"/>
    <col customWidth="1" min="11" max="11" width="18.71"/>
    <col customWidth="1" min="12" max="12" width="17.86"/>
    <col customWidth="1" min="13" max="13" width="27.29"/>
    <col customWidth="1" min="14" max="14" width="8.71"/>
    <col customWidth="1" min="15" max="15" width="12.14"/>
    <col customWidth="1" min="16" max="16" width="10.57"/>
    <col customWidth="1" min="17" max="26" width="8.71"/>
  </cols>
  <sheetData>
    <row r="1" ht="14.25" customHeigh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2" t="s">
        <v>11</v>
      </c>
      <c r="M1" s="4" t="s">
        <v>12</v>
      </c>
      <c r="N1" s="5" t="s">
        <v>13</v>
      </c>
      <c r="O1" s="5" t="s">
        <v>14</v>
      </c>
      <c r="P1" s="6" t="s">
        <v>15</v>
      </c>
    </row>
    <row r="2" ht="14.25" customHeight="1">
      <c r="A2" s="7" t="s">
        <v>16</v>
      </c>
      <c r="B2" s="8">
        <v>19.0</v>
      </c>
      <c r="C2" s="7" t="s">
        <v>17</v>
      </c>
      <c r="D2" s="9">
        <v>4.0</v>
      </c>
      <c r="E2" s="10">
        <v>2.0</v>
      </c>
      <c r="F2" s="9">
        <v>4.0</v>
      </c>
      <c r="G2" s="10">
        <v>2.0</v>
      </c>
      <c r="H2" s="9">
        <v>4.0</v>
      </c>
      <c r="I2" s="10">
        <v>2.0</v>
      </c>
      <c r="J2" s="9">
        <v>4.0</v>
      </c>
      <c r="K2" s="10">
        <v>2.0</v>
      </c>
      <c r="L2" s="9">
        <v>4.0</v>
      </c>
      <c r="M2" s="10">
        <v>2.0</v>
      </c>
      <c r="N2" s="11">
        <f t="shared" ref="N2:N16" si="1">((D2-1) + (5-E2) + (F2-1) + (5-G2)+ (H2-1) + (5-I2) + (J2-1) + (5-K2) + (L2-1) + (5-M2))*2.5</f>
        <v>75</v>
      </c>
      <c r="O2" s="12">
        <f t="shared" ref="O2:O16" si="2">12.5*((5-G2)+(5-M2))</f>
        <v>75</v>
      </c>
      <c r="P2" s="12">
        <f t="shared" ref="P2:P16" si="3">3.125 * ((D2-1) + (5-E2) + (F2-1) + (H2-1) + (5-I2) + (J2-1) + (5-K2) + (L2-1))</f>
        <v>75</v>
      </c>
    </row>
    <row r="3" ht="14.25" customHeight="1">
      <c r="A3" s="7" t="s">
        <v>18</v>
      </c>
      <c r="B3" s="8">
        <v>22.0</v>
      </c>
      <c r="C3" s="7" t="s">
        <v>19</v>
      </c>
      <c r="D3" s="9">
        <v>5.0</v>
      </c>
      <c r="E3" s="10">
        <v>2.0</v>
      </c>
      <c r="F3" s="9">
        <v>5.0</v>
      </c>
      <c r="G3" s="10">
        <v>2.0</v>
      </c>
      <c r="H3" s="9">
        <v>5.0</v>
      </c>
      <c r="I3" s="10">
        <v>2.0</v>
      </c>
      <c r="J3" s="9">
        <v>5.0</v>
      </c>
      <c r="K3" s="10">
        <v>2.0</v>
      </c>
      <c r="L3" s="9">
        <v>5.0</v>
      </c>
      <c r="M3" s="10">
        <v>2.0</v>
      </c>
      <c r="N3" s="11">
        <f t="shared" si="1"/>
        <v>87.5</v>
      </c>
      <c r="O3" s="12">
        <f t="shared" si="2"/>
        <v>75</v>
      </c>
      <c r="P3" s="12">
        <f t="shared" si="3"/>
        <v>90.625</v>
      </c>
    </row>
    <row r="4" ht="14.25" customHeight="1">
      <c r="A4" s="7" t="s">
        <v>20</v>
      </c>
      <c r="B4" s="8">
        <v>20.0</v>
      </c>
      <c r="C4" s="7" t="s">
        <v>17</v>
      </c>
      <c r="D4" s="9">
        <v>3.0</v>
      </c>
      <c r="E4" s="10">
        <v>3.0</v>
      </c>
      <c r="F4" s="9">
        <v>3.0</v>
      </c>
      <c r="G4" s="10">
        <v>3.0</v>
      </c>
      <c r="H4" s="9">
        <v>3.0</v>
      </c>
      <c r="I4" s="10">
        <v>3.0</v>
      </c>
      <c r="J4" s="9">
        <v>3.0</v>
      </c>
      <c r="K4" s="10">
        <v>3.0</v>
      </c>
      <c r="L4" s="9">
        <v>3.0</v>
      </c>
      <c r="M4" s="10">
        <v>3.0</v>
      </c>
      <c r="N4" s="11">
        <f t="shared" si="1"/>
        <v>50</v>
      </c>
      <c r="O4" s="12">
        <f t="shared" si="2"/>
        <v>50</v>
      </c>
      <c r="P4" s="12">
        <f t="shared" si="3"/>
        <v>50</v>
      </c>
    </row>
    <row r="5" ht="14.25" customHeight="1">
      <c r="A5" s="7" t="s">
        <v>21</v>
      </c>
      <c r="B5" s="8">
        <v>21.0</v>
      </c>
      <c r="C5" s="7" t="s">
        <v>19</v>
      </c>
      <c r="D5" s="9">
        <v>4.0</v>
      </c>
      <c r="E5" s="10">
        <v>3.0</v>
      </c>
      <c r="F5" s="9">
        <v>4.0</v>
      </c>
      <c r="G5" s="10">
        <v>3.0</v>
      </c>
      <c r="H5" s="9">
        <v>4.0</v>
      </c>
      <c r="I5" s="10">
        <v>3.0</v>
      </c>
      <c r="J5" s="9">
        <v>4.0</v>
      </c>
      <c r="K5" s="10">
        <v>3.0</v>
      </c>
      <c r="L5" s="9">
        <v>4.0</v>
      </c>
      <c r="M5" s="10">
        <v>3.0</v>
      </c>
      <c r="N5" s="11">
        <f t="shared" si="1"/>
        <v>62.5</v>
      </c>
      <c r="O5" s="12">
        <f t="shared" si="2"/>
        <v>50</v>
      </c>
      <c r="P5" s="12">
        <f t="shared" si="3"/>
        <v>65.625</v>
      </c>
    </row>
    <row r="6" ht="14.25" customHeight="1">
      <c r="A6" s="7" t="s">
        <v>22</v>
      </c>
      <c r="B6" s="8">
        <v>18.0</v>
      </c>
      <c r="C6" s="7" t="s">
        <v>17</v>
      </c>
      <c r="D6" s="9">
        <v>4.0</v>
      </c>
      <c r="E6" s="10">
        <v>2.0</v>
      </c>
      <c r="F6" s="9">
        <v>4.0</v>
      </c>
      <c r="G6" s="10">
        <v>2.0</v>
      </c>
      <c r="H6" s="9">
        <v>4.0</v>
      </c>
      <c r="I6" s="10">
        <v>2.0</v>
      </c>
      <c r="J6" s="9">
        <v>4.0</v>
      </c>
      <c r="K6" s="10">
        <v>2.0</v>
      </c>
      <c r="L6" s="9">
        <v>4.0</v>
      </c>
      <c r="M6" s="10">
        <v>2.0</v>
      </c>
      <c r="N6" s="11">
        <f t="shared" si="1"/>
        <v>75</v>
      </c>
      <c r="O6" s="12">
        <f t="shared" si="2"/>
        <v>75</v>
      </c>
      <c r="P6" s="12">
        <f t="shared" si="3"/>
        <v>75</v>
      </c>
    </row>
    <row r="7" ht="14.25" customHeight="1">
      <c r="A7" s="7" t="s">
        <v>23</v>
      </c>
      <c r="B7" s="8">
        <v>24.0</v>
      </c>
      <c r="C7" s="7" t="s">
        <v>19</v>
      </c>
      <c r="D7" s="9">
        <v>5.0</v>
      </c>
      <c r="E7" s="10">
        <v>1.0</v>
      </c>
      <c r="F7" s="9">
        <v>5.0</v>
      </c>
      <c r="G7" s="10">
        <v>1.0</v>
      </c>
      <c r="H7" s="9">
        <v>5.0</v>
      </c>
      <c r="I7" s="10">
        <v>1.0</v>
      </c>
      <c r="J7" s="9">
        <v>5.0</v>
      </c>
      <c r="K7" s="10">
        <v>1.0</v>
      </c>
      <c r="L7" s="9">
        <v>5.0</v>
      </c>
      <c r="M7" s="10">
        <v>1.0</v>
      </c>
      <c r="N7" s="11">
        <f t="shared" si="1"/>
        <v>100</v>
      </c>
      <c r="O7" s="12">
        <f t="shared" si="2"/>
        <v>100</v>
      </c>
      <c r="P7" s="12">
        <f t="shared" si="3"/>
        <v>100</v>
      </c>
    </row>
    <row r="8" ht="14.25" customHeight="1">
      <c r="A8" s="7" t="s">
        <v>24</v>
      </c>
      <c r="B8" s="8">
        <v>20.0</v>
      </c>
      <c r="C8" s="7" t="s">
        <v>17</v>
      </c>
      <c r="D8" s="9">
        <v>3.0</v>
      </c>
      <c r="E8" s="10">
        <v>4.0</v>
      </c>
      <c r="F8" s="9">
        <v>3.0</v>
      </c>
      <c r="G8" s="10">
        <v>4.0</v>
      </c>
      <c r="H8" s="9">
        <v>3.0</v>
      </c>
      <c r="I8" s="10">
        <v>4.0</v>
      </c>
      <c r="J8" s="9">
        <v>3.0</v>
      </c>
      <c r="K8" s="10">
        <v>4.0</v>
      </c>
      <c r="L8" s="9">
        <v>3.0</v>
      </c>
      <c r="M8" s="10">
        <v>4.0</v>
      </c>
      <c r="N8" s="11">
        <f t="shared" si="1"/>
        <v>37.5</v>
      </c>
      <c r="O8" s="12">
        <f t="shared" si="2"/>
        <v>25</v>
      </c>
      <c r="P8" s="12">
        <f t="shared" si="3"/>
        <v>40.625</v>
      </c>
    </row>
    <row r="9" ht="14.25" customHeight="1">
      <c r="A9" s="7" t="s">
        <v>25</v>
      </c>
      <c r="B9" s="8">
        <v>23.0</v>
      </c>
      <c r="C9" s="7" t="s">
        <v>19</v>
      </c>
      <c r="D9" s="9">
        <v>4.0</v>
      </c>
      <c r="E9" s="10">
        <v>2.0</v>
      </c>
      <c r="F9" s="9">
        <v>4.0</v>
      </c>
      <c r="G9" s="10">
        <v>2.0</v>
      </c>
      <c r="H9" s="9">
        <v>4.0</v>
      </c>
      <c r="I9" s="10">
        <v>2.0</v>
      </c>
      <c r="J9" s="9">
        <v>4.0</v>
      </c>
      <c r="K9" s="10">
        <v>2.0</v>
      </c>
      <c r="L9" s="9">
        <v>4.0</v>
      </c>
      <c r="M9" s="10">
        <v>2.0</v>
      </c>
      <c r="N9" s="11">
        <f t="shared" si="1"/>
        <v>75</v>
      </c>
      <c r="O9" s="12">
        <f t="shared" si="2"/>
        <v>75</v>
      </c>
      <c r="P9" s="12">
        <f t="shared" si="3"/>
        <v>75</v>
      </c>
    </row>
    <row r="10" ht="14.25" customHeight="1">
      <c r="A10" s="7" t="s">
        <v>26</v>
      </c>
      <c r="B10" s="8">
        <v>19.0</v>
      </c>
      <c r="C10" s="7" t="s">
        <v>17</v>
      </c>
      <c r="D10" s="9">
        <v>3.0</v>
      </c>
      <c r="E10" s="10">
        <v>3.0</v>
      </c>
      <c r="F10" s="9">
        <v>3.0</v>
      </c>
      <c r="G10" s="10">
        <v>3.0</v>
      </c>
      <c r="H10" s="9">
        <v>3.0</v>
      </c>
      <c r="I10" s="10">
        <v>3.0</v>
      </c>
      <c r="J10" s="9">
        <v>3.0</v>
      </c>
      <c r="K10" s="10">
        <v>3.0</v>
      </c>
      <c r="L10" s="9">
        <v>3.0</v>
      </c>
      <c r="M10" s="10">
        <v>3.0</v>
      </c>
      <c r="N10" s="11">
        <f t="shared" si="1"/>
        <v>50</v>
      </c>
      <c r="O10" s="12">
        <f t="shared" si="2"/>
        <v>50</v>
      </c>
      <c r="P10" s="12">
        <f t="shared" si="3"/>
        <v>50</v>
      </c>
    </row>
    <row r="11" ht="14.25" customHeight="1">
      <c r="A11" s="7" t="s">
        <v>27</v>
      </c>
      <c r="B11" s="8">
        <v>22.0</v>
      </c>
      <c r="C11" s="7" t="s">
        <v>19</v>
      </c>
      <c r="D11" s="9">
        <v>4.0</v>
      </c>
      <c r="E11" s="10">
        <v>2.0</v>
      </c>
      <c r="F11" s="9">
        <v>4.0</v>
      </c>
      <c r="G11" s="10">
        <v>2.0</v>
      </c>
      <c r="H11" s="9">
        <v>4.0</v>
      </c>
      <c r="I11" s="10">
        <v>2.0</v>
      </c>
      <c r="J11" s="9">
        <v>4.0</v>
      </c>
      <c r="K11" s="10">
        <v>2.0</v>
      </c>
      <c r="L11" s="9">
        <v>4.0</v>
      </c>
      <c r="M11" s="10">
        <v>2.0</v>
      </c>
      <c r="N11" s="11">
        <f t="shared" si="1"/>
        <v>75</v>
      </c>
      <c r="O11" s="12">
        <f t="shared" si="2"/>
        <v>75</v>
      </c>
      <c r="P11" s="12">
        <f t="shared" si="3"/>
        <v>75</v>
      </c>
    </row>
    <row r="12" ht="14.25" customHeight="1">
      <c r="A12" s="7" t="s">
        <v>28</v>
      </c>
      <c r="B12" s="8">
        <v>18.0</v>
      </c>
      <c r="C12" s="7" t="s">
        <v>17</v>
      </c>
      <c r="D12" s="9">
        <v>4.0</v>
      </c>
      <c r="E12" s="10">
        <v>3.0</v>
      </c>
      <c r="F12" s="9">
        <v>4.0</v>
      </c>
      <c r="G12" s="10">
        <v>3.0</v>
      </c>
      <c r="H12" s="9">
        <v>4.0</v>
      </c>
      <c r="I12" s="10">
        <v>3.0</v>
      </c>
      <c r="J12" s="9">
        <v>4.0</v>
      </c>
      <c r="K12" s="10">
        <v>3.0</v>
      </c>
      <c r="L12" s="9">
        <v>4.0</v>
      </c>
      <c r="M12" s="10">
        <v>3.0</v>
      </c>
      <c r="N12" s="11">
        <f t="shared" si="1"/>
        <v>62.5</v>
      </c>
      <c r="O12" s="12">
        <f t="shared" si="2"/>
        <v>50</v>
      </c>
      <c r="P12" s="12">
        <f t="shared" si="3"/>
        <v>65.625</v>
      </c>
    </row>
    <row r="13" ht="14.25" customHeight="1">
      <c r="A13" s="7" t="s">
        <v>29</v>
      </c>
      <c r="B13" s="8">
        <v>21.0</v>
      </c>
      <c r="C13" s="7" t="s">
        <v>19</v>
      </c>
      <c r="D13" s="9">
        <v>5.0</v>
      </c>
      <c r="E13" s="10">
        <v>2.0</v>
      </c>
      <c r="F13" s="9">
        <v>5.0</v>
      </c>
      <c r="G13" s="10">
        <v>2.0</v>
      </c>
      <c r="H13" s="9">
        <v>5.0</v>
      </c>
      <c r="I13" s="10">
        <v>2.0</v>
      </c>
      <c r="J13" s="9">
        <v>5.0</v>
      </c>
      <c r="K13" s="10">
        <v>2.0</v>
      </c>
      <c r="L13" s="9">
        <v>5.0</v>
      </c>
      <c r="M13" s="10">
        <v>2.0</v>
      </c>
      <c r="N13" s="11">
        <f t="shared" si="1"/>
        <v>87.5</v>
      </c>
      <c r="O13" s="12">
        <f t="shared" si="2"/>
        <v>75</v>
      </c>
      <c r="P13" s="12">
        <f t="shared" si="3"/>
        <v>90.625</v>
      </c>
    </row>
    <row r="14" ht="14.25" customHeight="1">
      <c r="A14" s="7" t="s">
        <v>30</v>
      </c>
      <c r="B14" s="8">
        <v>23.0</v>
      </c>
      <c r="C14" s="7" t="s">
        <v>17</v>
      </c>
      <c r="D14" s="9">
        <v>3.0</v>
      </c>
      <c r="E14" s="10">
        <v>3.0</v>
      </c>
      <c r="F14" s="9">
        <v>3.0</v>
      </c>
      <c r="G14" s="10">
        <v>3.0</v>
      </c>
      <c r="H14" s="9">
        <v>3.0</v>
      </c>
      <c r="I14" s="10">
        <v>3.0</v>
      </c>
      <c r="J14" s="9">
        <v>3.0</v>
      </c>
      <c r="K14" s="10">
        <v>3.0</v>
      </c>
      <c r="L14" s="9">
        <v>3.0</v>
      </c>
      <c r="M14" s="10">
        <v>3.0</v>
      </c>
      <c r="N14" s="11">
        <f t="shared" si="1"/>
        <v>50</v>
      </c>
      <c r="O14" s="12">
        <f t="shared" si="2"/>
        <v>50</v>
      </c>
      <c r="P14" s="12">
        <f t="shared" si="3"/>
        <v>50</v>
      </c>
    </row>
    <row r="15" ht="14.25" customHeight="1">
      <c r="A15" s="7" t="s">
        <v>31</v>
      </c>
      <c r="B15" s="8">
        <v>20.0</v>
      </c>
      <c r="C15" s="7" t="s">
        <v>19</v>
      </c>
      <c r="D15" s="9">
        <v>4.0</v>
      </c>
      <c r="E15" s="10">
        <v>2.0</v>
      </c>
      <c r="F15" s="9">
        <v>4.0</v>
      </c>
      <c r="G15" s="10">
        <v>2.0</v>
      </c>
      <c r="H15" s="9">
        <v>4.0</v>
      </c>
      <c r="I15" s="10">
        <v>2.0</v>
      </c>
      <c r="J15" s="9">
        <v>4.0</v>
      </c>
      <c r="K15" s="10">
        <v>2.0</v>
      </c>
      <c r="L15" s="9">
        <v>4.0</v>
      </c>
      <c r="M15" s="10">
        <v>2.0</v>
      </c>
      <c r="N15" s="11">
        <f t="shared" si="1"/>
        <v>75</v>
      </c>
      <c r="O15" s="12">
        <f t="shared" si="2"/>
        <v>75</v>
      </c>
      <c r="P15" s="12">
        <f t="shared" si="3"/>
        <v>75</v>
      </c>
    </row>
    <row r="16" ht="14.25" customHeight="1">
      <c r="A16" s="7" t="s">
        <v>32</v>
      </c>
      <c r="B16" s="8">
        <v>19.0</v>
      </c>
      <c r="C16" s="7" t="s">
        <v>17</v>
      </c>
      <c r="D16" s="9">
        <v>4.0</v>
      </c>
      <c r="E16" s="10">
        <v>2.0</v>
      </c>
      <c r="F16" s="9">
        <v>4.0</v>
      </c>
      <c r="G16" s="10">
        <v>2.0</v>
      </c>
      <c r="H16" s="9">
        <v>4.0</v>
      </c>
      <c r="I16" s="10">
        <v>2.0</v>
      </c>
      <c r="J16" s="9">
        <v>4.0</v>
      </c>
      <c r="K16" s="10">
        <v>2.0</v>
      </c>
      <c r="L16" s="9">
        <v>4.0</v>
      </c>
      <c r="M16" s="10">
        <v>2.0</v>
      </c>
      <c r="N16" s="11">
        <f t="shared" si="1"/>
        <v>75</v>
      </c>
      <c r="O16" s="12">
        <f t="shared" si="2"/>
        <v>75</v>
      </c>
      <c r="P16" s="12">
        <f t="shared" si="3"/>
        <v>75</v>
      </c>
    </row>
    <row r="17" ht="14.25" customHeight="1">
      <c r="A17" s="13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5">
        <f t="shared" ref="N17:P17" si="4">AVERAGE(N2:N16)</f>
        <v>69.16666667</v>
      </c>
      <c r="O17" s="15">
        <f t="shared" si="4"/>
        <v>65</v>
      </c>
      <c r="P17" s="15">
        <f t="shared" si="4"/>
        <v>70.20833333</v>
      </c>
      <c r="Q17" s="5" t="s">
        <v>33</v>
      </c>
    </row>
    <row r="18" ht="14.25" customHeight="1">
      <c r="A18" s="16"/>
      <c r="B18" s="16"/>
      <c r="D18" s="17"/>
      <c r="E18" s="14"/>
      <c r="F18" s="14"/>
      <c r="G18" s="14"/>
      <c r="H18" s="14"/>
      <c r="I18" s="14"/>
      <c r="J18" s="14"/>
      <c r="K18" s="14"/>
      <c r="L18" s="14"/>
      <c r="M18" s="14"/>
      <c r="N18" s="5" t="s">
        <v>34</v>
      </c>
      <c r="O18" s="5" t="s">
        <v>35</v>
      </c>
      <c r="P18" s="5" t="s">
        <v>36</v>
      </c>
      <c r="Q18" s="5" t="s">
        <v>13</v>
      </c>
    </row>
    <row r="19" ht="14.25" customHeight="1">
      <c r="A19" s="16"/>
      <c r="B19" s="16"/>
      <c r="D19" s="16"/>
      <c r="E19" s="16"/>
    </row>
    <row r="20" ht="14.25" customHeight="1"/>
    <row r="21" ht="14.25" customHeight="1"/>
    <row r="22" ht="14.25" customHeight="1"/>
    <row r="23" ht="14.25" customHeight="1"/>
    <row r="24" ht="14.25" customHeight="1">
      <c r="C24" s="18" t="s">
        <v>37</v>
      </c>
      <c r="D24" s="19" t="s">
        <v>13</v>
      </c>
    </row>
    <row r="25" ht="14.25" customHeight="1">
      <c r="C25" s="20" t="s">
        <v>38</v>
      </c>
      <c r="D25" s="21">
        <v>100.0</v>
      </c>
    </row>
    <row r="26" ht="14.25" customHeight="1">
      <c r="C26" s="20" t="s">
        <v>39</v>
      </c>
      <c r="D26" s="21">
        <v>80.3</v>
      </c>
    </row>
    <row r="27" ht="14.25" customHeight="1">
      <c r="C27" s="20" t="s">
        <v>40</v>
      </c>
      <c r="D27" s="21">
        <v>74.0</v>
      </c>
    </row>
    <row r="28" ht="14.25" customHeight="1">
      <c r="C28" s="20" t="s">
        <v>41</v>
      </c>
      <c r="D28" s="21">
        <v>69.2</v>
      </c>
    </row>
    <row r="29" ht="14.25" customHeight="1">
      <c r="C29" s="20" t="s">
        <v>34</v>
      </c>
      <c r="D29" s="21">
        <v>68.0</v>
      </c>
    </row>
    <row r="30" ht="14.25" customHeight="1">
      <c r="C30" s="20" t="s">
        <v>42</v>
      </c>
      <c r="D30" s="21">
        <v>51.0</v>
      </c>
    </row>
    <row r="31" ht="14.25" customHeight="1">
      <c r="C31" s="20" t="s">
        <v>43</v>
      </c>
      <c r="D31" s="21">
        <v>0.0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>
      <c r="C47" s="22" t="s">
        <v>44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7:B17"/>
  </mergeCells>
  <conditionalFormatting sqref="D25:D31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N2:P16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hyperlinks>
    <hyperlink r:id="rId1" ref="A1"/>
  </hyperlinks>
  <printOptions/>
  <pageMargins bottom="0.75" footer="0.0" header="0.0" left="0.7" right="0.7" top="0.75"/>
  <pageSetup paperSize="9" orientation="portrait"/>
  <drawing r:id="rId2"/>
</worksheet>
</file>